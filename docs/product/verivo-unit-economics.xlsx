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Припущення" sheetId="2" state="visible" r:id="rId4"/>
    <sheet name="Юніт-модель" sheetId="3" state="visible" r:id="rId5"/>
    <sheet name="Підсум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<sst xmlns="http://schemas.openxmlformats.org/spreadsheetml/2006/main" count="83" uniqueCount="83">
  <si>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Юніт-економіка Verivo — юніт = автомобіль (VIN)</t>
  </si>
  <si>
    <t xml:space="preserve">ЩО ЦЕ</t>
  </si>
  <si>
    <t xml:space="preserve">Модель економіки ОДНОГО автомобіля з живою історією за горизонт 8 років. Не помісячний кеш-флоу компанії — саме юніт.</t>
  </si>
  <si>
    <t xml:space="preserve">ЮНІТ</t>
  </si>
  <si>
    <t xml:space="preserve">Автомобіль (VIN). Історія належить авто і переживає власників (рішення засновника 19.08.2026). LTV рахується на авто, CAC — вартість «посадити» одне авто.</t>
  </si>
  <si>
    <t xml:space="preserve">ГОЛОВНА МЕТРИКА</t>
  </si>
  <si>
    <t xml:space="preserve">Continuity rate — частка історій, що переживають зміну власника. Змініть її на аркуші «Припущення» і подивіться на Підсумки: різниця = гроші, які живуть у безперервності.</t>
  </si>
  <si>
    <t xml:space="preserve">АРКУШ «Припущення»</t>
  </si>
  <si>
    <t xml:space="preserve">Єдине місце вводу. Жовта заливка + синій текст = можна міняти. ВСІ значення — припущення для калібрування, НЕ прогноз. [TBD] = перевіряється тестами з VC-003.</t>
  </si>
  <si>
    <t xml:space="preserve">АРКУШ «Юніт-модель»</t>
  </si>
  <si>
    <t xml:space="preserve">Розрахунок доходів/витрат одного авто по роках 1–8. Нічого не міняти — все формули.</t>
  </si>
  <si>
    <t xml:space="preserve">АРКУШ «Підсумки»</t>
  </si>
  <si>
    <t xml:space="preserve">LTV авто, LTV/CAC, розбивка за потоками і ціна continuity.</t>
  </si>
  <si>
    <t xml:space="preserve">ЧОГО ТУТ НЕМАЄ</t>
  </si>
  <si>
    <t xml:space="preserve">Дисконтування, податків, валютних курсів, помісячної каси. Свідомо: спершу перевіряємо, чи юніт взагалі заробляє.</t>
  </si>
  <si>
    <t xml:space="preserve">Припущення (вхідні дані юніта)</t>
  </si>
  <si>
    <t xml:space="preserve">Міняйте тільки жовті клітинки. Кожне число — припущення (≈) або [TBD] до перевірки тестами.</t>
  </si>
  <si>
    <t xml:space="preserve">Юніт і час</t>
  </si>
  <si>
    <t xml:space="preserve">Горизонт моделі, років</t>
  </si>
  <si>
    <t xml:space="preserve">≈2 цикли володіння. Досить, щоб побачити ефект continuity.</t>
  </si>
  <si>
    <t xml:space="preserve">Середній цикл володіння, років</t>
  </si>
  <si>
    <t xml:space="preserve">≈ припущення. UA-статистики під рукою немає — [TBD].</t>
  </si>
  <si>
    <t xml:space="preserve">Continuity rate (0…1)</t>
  </si>
  <si>
    <t xml:space="preserve">Частка історій, що переживають зміну власника. ГОЛОВНИЙ ВАЖІЛЬ. 0 = історія вмирає з власником; 1 = завжди передається. [TBD — це продуктова гіпотеза]. </t>
  </si>
  <si>
    <t xml:space="preserve">Потік 1 — Verified-записи (платить СТО)</t>
  </si>
  <si>
    <t xml:space="preserve">Сервісних подій на 1 авто/рік</t>
  </si>
  <si>
    <t xml:space="preserve">≈ ТО + сезонна зміна шин + дрібний ремонт.</t>
  </si>
  <si>
    <t xml:space="preserve">Частка подій, що стають verified-записами (0…1)</t>
  </si>
  <si>
    <t xml:space="preserve">Залежить від покриття СТО. [TBD — UK СТО-тест].</t>
  </si>
  <si>
    <t xml:space="preserve">Ціна для СТО за 1 verified-запис, €</t>
  </si>
  <si>
    <t xml:space="preserve">[TBD — UK СТО-тест]. Для СТО це брендоване підтвердження роботи, що лишається з авто.</t>
  </si>
  <si>
    <t xml:space="preserve">Потік 2 — Момент угоди</t>
  </si>
  <si>
    <t xml:space="preserve">Attach rate платного продукту угоди (0…1)</t>
  </si>
  <si>
    <t xml:space="preserve">Частка продажів авто, де хтось платить за живе джерело/пакет. [TBD — Sale Pack-тест]. Після скріншот-аргументу: платять лише за незалежне живе джерело.</t>
  </si>
  <si>
    <t xml:space="preserve">Ціна продукту угоди, €</t>
  </si>
  <si>
    <t xml:space="preserve">Орієнтир ринку звітів: CarFax ≈$45, carVertical ≈€30 (перевірити). [TBD]</t>
  </si>
  <si>
    <t xml:space="preserve">Потік 3 — Власник (за замовч. вимкнено)</t>
  </si>
  <si>
    <t xml:space="preserve">Підписка власника, €/міс</t>
  </si>
  <si>
    <t xml:space="preserve">Стара модель B (₴79–99 ≈ €1.5–2). Залишено як важіль: постав значення — побачиш внесок підписки.</t>
  </si>
  <si>
    <t xml:space="preserve">Витрати юніта</t>
  </si>
  <si>
    <t xml:space="preserve">CAC: залучення 1 авто, €</t>
  </si>
  <si>
    <t xml:space="preserve">≈ вартість встановлення+активації на 1 авто. [TBD]</t>
  </si>
  <si>
    <t xml:space="preserve">Інфраструктура + AI на 1 авто/рік, €</t>
  </si>
  <si>
    <t xml:space="preserve">≈ сховище, розпізнавання чеків.</t>
  </si>
  <si>
    <t xml:space="preserve">CAC 1 СТО (разово), €</t>
  </si>
  <si>
    <t xml:space="preserve">≈ прямий продаж/онбординг одного СТО. [TBD — UK-тест]</t>
  </si>
  <si>
    <t xml:space="preserve">Verified-записів від 1 СТО/рік</t>
  </si>
  <si>
    <t xml:space="preserve">≈ 25/міс. [TBD]</t>
  </si>
  <si>
    <t xml:space="preserve">Строк співпраці зі СТО, років</t>
  </si>
  <si>
    <t xml:space="preserve">≈ припущення.</t>
  </si>
  <si>
    <t xml:space="preserve">Амортизація CAC СТО на 1 запис, €</t>
  </si>
  <si>
    <t xml:space="preserve">Формула: CAC СТО ÷ (записів/рік × строк). Не міняти.</t>
  </si>
  <si>
    <t xml:space="preserve">Економіка одного автомобіля по роках</t>
  </si>
  <si>
    <t xml:space="preserve">Все формули. «Історія жива» = continuity^(кількість пройдених змін власника).</t>
  </si>
  <si>
    <t xml:space="preserve">Рік</t>
  </si>
  <si>
    <t xml:space="preserve">Історія жива, ймовірність</t>
  </si>
  <si>
    <t xml:space="preserve">Дохід: verified-записи, €</t>
  </si>
  <si>
    <t xml:space="preserve">Дохід: момент угоди, €</t>
  </si>
  <si>
    <t xml:space="preserve">Дохід: підписка власника, €</t>
  </si>
  <si>
    <t xml:space="preserve">ДОХІД РАЗОМ, €</t>
  </si>
  <si>
    <t xml:space="preserve">Витрати: інфра+AI, €</t>
  </si>
  <si>
    <t xml:space="preserve">Витрати: аморт. CAC СТО, €</t>
  </si>
  <si>
    <t xml:space="preserve">ВИТРАТИ РАЗОМ, €</t>
  </si>
  <si>
    <t xml:space="preserve">Нетто за рік, €</t>
  </si>
  <si>
    <t xml:space="preserve">Кумулятивно (з CAC авто), €</t>
  </si>
  <si>
    <t xml:space="preserve">Підсумки юніта (1 автомобіль, горизонт 8 років)</t>
  </si>
  <si>
    <t xml:space="preserve">LTV авто (дохід за горизонт), €</t>
  </si>
  <si>
    <t xml:space="preserve">— з нього verified-записи, €</t>
  </si>
  <si>
    <t xml:space="preserve">— з нього момент угоди, €</t>
  </si>
  <si>
    <t xml:space="preserve">— з нього підписка, €</t>
  </si>
  <si>
    <t xml:space="preserve">Витрати юніта за горизонт (без CAC), €</t>
  </si>
  <si>
    <t xml:space="preserve">CAC авто, €</t>
  </si>
  <si>
    <t xml:space="preserve">Нетто юніта за горизонт (після CAC), €</t>
  </si>
  <si>
    <t xml:space="preserve">LTV/CAC (нетто до CAC ÷ CAC)</t>
  </si>
  <si>
    <t xml:space="preserve">Здорове SaaS-правило великого пальця: &gt;3x. Тут — лише калібрування, не прогноз.</t>
  </si>
  <si>
    <t xml:space="preserve">Ціна безперервності (continuity)</t>
  </si>
  <si>
    <t xml:space="preserve">Дохід лише за 1-й цикл володіння, €</t>
  </si>
  <si>
    <t xml:space="preserve">Це вся виручка юніта, якщо історія ВМИРАЄ з власником (continuity = 0).</t>
  </si>
  <si>
    <t xml:space="preserve">Дохід, що живе в continuity, €</t>
  </si>
  <si>
    <t xml:space="preserve">Різниця = гроші, які існують лише якщо історія переживає зміну власника. Це грошовий вираз головної метрики продукту.</t>
  </si>
  <si>
    <t xml:space="preserve">Частка LTV, залежна від continuity</t>
  </si>
  <si>
    <t xml:space="preserve">Нагадування</t>
  </si>
  <si>
    <t xml:space="preserve">Всі вхідні — припущення (≈) або [TBD]; перевіряються тестами з VC-003: Sale Pack-тест → attach rate і ціна угоди; UK СТО-тест → ціна за запис і частка verified. Модель без дисконтування і податків.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</si>
</sst>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€#,##0.00"/>
    <numFmt numFmtId="167" formatCode="\€#,##0"/>
    <numFmt numFmtId="168" formatCode="\€#,##0.000"/>
    <numFmt numFmtId="169" formatCode="0.00"/>
    <numFmt numFmtId="170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26.85" hidden="false" customHeight="false" outlineLevel="0" collapsed="false">
      <c r="A5" s="2" t="s">
        <v>5</v>
      </c>
      <c r="B5" s="3" t="s">
        <v>6</v>
      </c>
    </row>
    <row r="6" customFormat="false" ht="26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6.8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5" hidden="false" customHeight="false" outlineLevel="0" collapsed="false">
      <c r="A4" s="5" t="s">
        <v>17</v>
      </c>
    </row>
    <row r="5" customFormat="false" ht="15" hidden="false" customHeight="false" outlineLevel="0" collapsed="false">
      <c r="A5" s="6" t="s">
        <v>18</v>
      </c>
      <c r="B5" s="7" t="n">
        <v>8</v>
      </c>
      <c r="C5" s="8" t="s">
        <v>19</v>
      </c>
    </row>
    <row r="6" customFormat="false" ht="15" hidden="false" customHeight="false" outlineLevel="0" collapsed="false">
      <c r="A6" s="6" t="s">
        <v>20</v>
      </c>
      <c r="B6" s="7" t="n">
        <v>4</v>
      </c>
      <c r="C6" s="8" t="s">
        <v>21</v>
      </c>
    </row>
    <row r="7" customFormat="false" ht="22.35" hidden="false" customHeight="false" outlineLevel="0" collapsed="false">
      <c r="A7" s="6" t="s">
        <v>22</v>
      </c>
      <c r="B7" s="9" t="n">
        <v>0.5</v>
      </c>
      <c r="C7" s="8" t="s">
        <v>23</v>
      </c>
    </row>
    <row r="9" customFormat="false" ht="15" hidden="false" customHeight="false" outlineLevel="0" collapsed="false">
      <c r="A9" s="5" t="s">
        <v>24</v>
      </c>
    </row>
    <row r="10" customFormat="false" ht="15" hidden="false" customHeight="false" outlineLevel="0" collapsed="false">
      <c r="A10" s="6" t="s">
        <v>25</v>
      </c>
      <c r="B10" s="7" t="n">
        <v>3</v>
      </c>
      <c r="C10" s="8" t="s">
        <v>26</v>
      </c>
    </row>
    <row r="11" customFormat="false" ht="15" hidden="false" customHeight="false" outlineLevel="0" collapsed="false">
      <c r="A11" s="6" t="s">
        <v>27</v>
      </c>
      <c r="B11" s="9" t="n">
        <v>0.5</v>
      </c>
      <c r="C11" s="8" t="s">
        <v>28</v>
      </c>
    </row>
    <row r="12" customFormat="false" ht="15" hidden="false" customHeight="false" outlineLevel="0" collapsed="false">
      <c r="A12" s="6" t="s">
        <v>29</v>
      </c>
      <c r="B12" s="10" t="n">
        <v>1</v>
      </c>
      <c r="C12" s="8" t="s">
        <v>30</v>
      </c>
    </row>
    <row r="14" customFormat="false" ht="15" hidden="false" customHeight="false" outlineLevel="0" collapsed="false">
      <c r="A14" s="5" t="s">
        <v>31</v>
      </c>
    </row>
    <row r="15" customFormat="false" ht="22.35" hidden="false" customHeight="false" outlineLevel="0" collapsed="false">
      <c r="A15" s="6" t="s">
        <v>32</v>
      </c>
      <c r="B15" s="9" t="n">
        <v>0.2</v>
      </c>
      <c r="C15" s="8" t="s">
        <v>33</v>
      </c>
    </row>
    <row r="16" customFormat="false" ht="15" hidden="false" customHeight="false" outlineLevel="0" collapsed="false">
      <c r="A16" s="6" t="s">
        <v>34</v>
      </c>
      <c r="B16" s="11" t="n">
        <v>25</v>
      </c>
      <c r="C16" s="8" t="s">
        <v>35</v>
      </c>
    </row>
    <row r="18" customFormat="false" ht="15" hidden="false" customHeight="false" outlineLevel="0" collapsed="false">
      <c r="A18" s="5" t="s">
        <v>36</v>
      </c>
    </row>
    <row r="19" customFormat="false" ht="22.35" hidden="false" customHeight="false" outlineLevel="0" collapsed="false">
      <c r="A19" s="6" t="s">
        <v>37</v>
      </c>
      <c r="B19" s="10" t="n">
        <v>0</v>
      </c>
      <c r="C19" s="8" t="s">
        <v>38</v>
      </c>
    </row>
    <row r="21" customFormat="false" ht="15" hidden="false" customHeight="false" outlineLevel="0" collapsed="false">
      <c r="A21" s="5" t="s">
        <v>39</v>
      </c>
    </row>
    <row r="22" customFormat="false" ht="15" hidden="false" customHeight="false" outlineLevel="0" collapsed="false">
      <c r="A22" s="6" t="s">
        <v>40</v>
      </c>
      <c r="B22" s="10" t="n">
        <v>3</v>
      </c>
      <c r="C22" s="8" t="s">
        <v>41</v>
      </c>
    </row>
    <row r="23" customFormat="false" ht="15" hidden="false" customHeight="false" outlineLevel="0" collapsed="false">
      <c r="A23" s="6" t="s">
        <v>42</v>
      </c>
      <c r="B23" s="10" t="n">
        <v>0.5</v>
      </c>
      <c r="C23" s="8" t="s">
        <v>43</v>
      </c>
    </row>
    <row r="24" customFormat="false" ht="15" hidden="false" customHeight="false" outlineLevel="0" collapsed="false">
      <c r="A24" s="6" t="s">
        <v>44</v>
      </c>
      <c r="B24" s="11" t="n">
        <v>200</v>
      </c>
      <c r="C24" s="8" t="s">
        <v>45</v>
      </c>
    </row>
    <row r="25" customFormat="false" ht="15" hidden="false" customHeight="false" outlineLevel="0" collapsed="false">
      <c r="A25" s="6" t="s">
        <v>46</v>
      </c>
      <c r="B25" s="7" t="n">
        <v>300</v>
      </c>
      <c r="C25" s="8" t="s">
        <v>47</v>
      </c>
    </row>
    <row r="26" customFormat="false" ht="15" hidden="false" customHeight="false" outlineLevel="0" collapsed="false">
      <c r="A26" s="6" t="s">
        <v>48</v>
      </c>
      <c r="B26" s="7" t="n">
        <v>3</v>
      </c>
      <c r="C26" s="8" t="s">
        <v>49</v>
      </c>
    </row>
    <row r="27" customFormat="false" ht="15" hidden="false" customHeight="false" outlineLevel="0" collapsed="false">
      <c r="A27" s="2" t="s">
        <v>50</v>
      </c>
      <c r="B27" s="12" t="n">
        <f aca="false">B24/(B25*B26)</f>
        <v>0.222222222222222</v>
      </c>
      <c r="C27" s="1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0" min="2" style="0" width="13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4" t="s">
        <v>53</v>
      </c>
    </row>
    <row r="4" customFormat="false" ht="52.2" hidden="false" customHeight="false" outlineLevel="0" collapsed="false">
      <c r="A4" s="14" t="s">
        <v>54</v>
      </c>
      <c r="B4" s="14" t="s">
        <v>55</v>
      </c>
      <c r="C4" s="14" t="s">
        <v>56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61</v>
      </c>
      <c r="I4" s="14" t="s">
        <v>62</v>
      </c>
      <c r="J4" s="14" t="s">
        <v>63</v>
      </c>
      <c r="K4" s="14" t="s">
        <v>64</v>
      </c>
    </row>
    <row r="5" customFormat="false" ht="15" hidden="false" customHeight="false" outlineLevel="0" collapsed="false">
      <c r="A5" s="6" t="n">
        <v>1</v>
      </c>
      <c r="B5" s="15" t="n">
        <f aca="false">Припущення!$B$7^FLOOR((A5-1)/Припущення!$B$6,1)</f>
        <v>1</v>
      </c>
      <c r="C5" s="16" t="n">
        <f aca="false">B5*Припущення!$B$10*Припущення!$B$11*Припущення!$B$12</f>
        <v>1.5</v>
      </c>
      <c r="D5" s="16" t="n">
        <f aca="false">B5*(1/Припущення!$B$6)*Припущення!$B$15*Припущення!$B$16</f>
        <v>1.25</v>
      </c>
      <c r="E5" s="16" t="n">
        <f aca="false">B5*Припущення!$B$19*12</f>
        <v>0</v>
      </c>
      <c r="F5" s="16" t="n">
        <f aca="false">SUM(C5:E5)</f>
        <v>2.75</v>
      </c>
      <c r="G5" s="16" t="n">
        <f aca="false">B5*Припущення!$B$23</f>
        <v>0.5</v>
      </c>
      <c r="H5" s="16" t="n">
        <f aca="false">B5*Припущення!$B$10*Припущення!$B$11*Припущення!$B$27</f>
        <v>0.333333333333333</v>
      </c>
      <c r="I5" s="16" t="n">
        <f aca="false">SUM(G5:H5)</f>
        <v>0.833333333333333</v>
      </c>
      <c r="J5" s="16" t="n">
        <f aca="false">F5-I5</f>
        <v>1.91666666666667</v>
      </c>
      <c r="K5" s="16" t="n">
        <f aca="false">J5-Припущення!$B$22</f>
        <v>-1.08333333333333</v>
      </c>
    </row>
    <row r="6" customFormat="false" ht="15" hidden="false" customHeight="false" outlineLevel="0" collapsed="false">
      <c r="A6" s="6" t="n">
        <v>2</v>
      </c>
      <c r="B6" s="15" t="n">
        <f aca="false">Припущення!$B$7^FLOOR((A6-1)/Припущення!$B$6,1)</f>
        <v>1</v>
      </c>
      <c r="C6" s="16" t="n">
        <f aca="false">B6*Припущення!$B$10*Припущення!$B$11*Припущення!$B$12</f>
        <v>1.5</v>
      </c>
      <c r="D6" s="16" t="n">
        <f aca="false">B6*(1/Припущення!$B$6)*Припущення!$B$15*Припущення!$B$16</f>
        <v>1.25</v>
      </c>
      <c r="E6" s="16" t="n">
        <f aca="false">B6*Припущення!$B$19*12</f>
        <v>0</v>
      </c>
      <c r="F6" s="16" t="n">
        <f aca="false">SUM(C6:E6)</f>
        <v>2.75</v>
      </c>
      <c r="G6" s="16" t="n">
        <f aca="false">B6*Припущення!$B$23</f>
        <v>0.5</v>
      </c>
      <c r="H6" s="16" t="n">
        <f aca="false">B6*Припущення!$B$10*Припущення!$B$11*Припущення!$B$27</f>
        <v>0.333333333333333</v>
      </c>
      <c r="I6" s="16" t="n">
        <f aca="false">SUM(G6:H6)</f>
        <v>0.833333333333333</v>
      </c>
      <c r="J6" s="16" t="n">
        <f aca="false">F6-I6</f>
        <v>1.91666666666667</v>
      </c>
      <c r="K6" s="16" t="n">
        <f aca="false">K5+J6</f>
        <v>0.833333333333334</v>
      </c>
    </row>
    <row r="7" customFormat="false" ht="15" hidden="false" customHeight="false" outlineLevel="0" collapsed="false">
      <c r="A7" s="6" t="n">
        <v>3</v>
      </c>
      <c r="B7" s="15" t="n">
        <f aca="false">Припущення!$B$7^FLOOR((A7-1)/Припущення!$B$6,1)</f>
        <v>1</v>
      </c>
      <c r="C7" s="16" t="n">
        <f aca="false">B7*Припущення!$B$10*Припущення!$B$11*Припущення!$B$12</f>
        <v>1.5</v>
      </c>
      <c r="D7" s="16" t="n">
        <f aca="false">B7*(1/Припущення!$B$6)*Припущення!$B$15*Припущення!$B$16</f>
        <v>1.25</v>
      </c>
      <c r="E7" s="16" t="n">
        <f aca="false">B7*Припущення!$B$19*12</f>
        <v>0</v>
      </c>
      <c r="F7" s="16" t="n">
        <f aca="false">SUM(C7:E7)</f>
        <v>2.75</v>
      </c>
      <c r="G7" s="16" t="n">
        <f aca="false">B7*Припущення!$B$23</f>
        <v>0.5</v>
      </c>
      <c r="H7" s="16" t="n">
        <f aca="false">B7*Припущення!$B$10*Припущення!$B$11*Припущення!$B$27</f>
        <v>0.333333333333333</v>
      </c>
      <c r="I7" s="16" t="n">
        <f aca="false">SUM(G7:H7)</f>
        <v>0.833333333333333</v>
      </c>
      <c r="J7" s="16" t="n">
        <f aca="false">F7-I7</f>
        <v>1.91666666666667</v>
      </c>
      <c r="K7" s="16" t="n">
        <f aca="false">K6+J7</f>
        <v>2.75</v>
      </c>
    </row>
    <row r="8" customFormat="false" ht="15" hidden="false" customHeight="false" outlineLevel="0" collapsed="false">
      <c r="A8" s="6" t="n">
        <v>4</v>
      </c>
      <c r="B8" s="15" t="n">
        <f aca="false">Припущення!$B$7^FLOOR((A8-1)/Припущення!$B$6,1)</f>
        <v>1</v>
      </c>
      <c r="C8" s="16" t="n">
        <f aca="false">B8*Припущення!$B$10*Припущення!$B$11*Припущення!$B$12</f>
        <v>1.5</v>
      </c>
      <c r="D8" s="16" t="n">
        <f aca="false">B8*(1/Припущення!$B$6)*Припущення!$B$15*Припущення!$B$16</f>
        <v>1.25</v>
      </c>
      <c r="E8" s="16" t="n">
        <f aca="false">B8*Припущення!$B$19*12</f>
        <v>0</v>
      </c>
      <c r="F8" s="16" t="n">
        <f aca="false">SUM(C8:E8)</f>
        <v>2.75</v>
      </c>
      <c r="G8" s="16" t="n">
        <f aca="false">B8*Припущення!$B$23</f>
        <v>0.5</v>
      </c>
      <c r="H8" s="16" t="n">
        <f aca="false">B8*Припущення!$B$10*Припущення!$B$11*Припущення!$B$27</f>
        <v>0.333333333333333</v>
      </c>
      <c r="I8" s="16" t="n">
        <f aca="false">SUM(G8:H8)</f>
        <v>0.833333333333333</v>
      </c>
      <c r="J8" s="16" t="n">
        <f aca="false">F8-I8</f>
        <v>1.91666666666667</v>
      </c>
      <c r="K8" s="16" t="n">
        <f aca="false">K7+J8</f>
        <v>4.66666666666667</v>
      </c>
    </row>
    <row r="9" customFormat="false" ht="15" hidden="false" customHeight="false" outlineLevel="0" collapsed="false">
      <c r="A9" s="6" t="n">
        <v>5</v>
      </c>
      <c r="B9" s="15" t="n">
        <f aca="false">Припущення!$B$7^FLOOR((A9-1)/Припущення!$B$6,1)</f>
        <v>0.5</v>
      </c>
      <c r="C9" s="16" t="n">
        <f aca="false">B9*Припущення!$B$10*Припущення!$B$11*Припущення!$B$12</f>
        <v>0.75</v>
      </c>
      <c r="D9" s="16" t="n">
        <f aca="false">B9*(1/Припущення!$B$6)*Припущення!$B$15*Припущення!$B$16</f>
        <v>0.625</v>
      </c>
      <c r="E9" s="16" t="n">
        <f aca="false">B9*Припущення!$B$19*12</f>
        <v>0</v>
      </c>
      <c r="F9" s="16" t="n">
        <f aca="false">SUM(C9:E9)</f>
        <v>1.375</v>
      </c>
      <c r="G9" s="16" t="n">
        <f aca="false">B9*Припущення!$B$23</f>
        <v>0.25</v>
      </c>
      <c r="H9" s="16" t="n">
        <f aca="false">B9*Припущення!$B$10*Припущення!$B$11*Припущення!$B$27</f>
        <v>0.166666666666667</v>
      </c>
      <c r="I9" s="16" t="n">
        <f aca="false">SUM(G9:H9)</f>
        <v>0.416666666666667</v>
      </c>
      <c r="J9" s="16" t="n">
        <f aca="false">F9-I9</f>
        <v>0.958333333333333</v>
      </c>
      <c r="K9" s="16" t="n">
        <f aca="false">K8+J9</f>
        <v>5.625</v>
      </c>
    </row>
    <row r="10" customFormat="false" ht="15" hidden="false" customHeight="false" outlineLevel="0" collapsed="false">
      <c r="A10" s="6" t="n">
        <v>6</v>
      </c>
      <c r="B10" s="15" t="n">
        <f aca="false">Припущення!$B$7^FLOOR((A10-1)/Припущення!$B$6,1)</f>
        <v>0.5</v>
      </c>
      <c r="C10" s="16" t="n">
        <f aca="false">B10*Припущення!$B$10*Припущення!$B$11*Припущення!$B$12</f>
        <v>0.75</v>
      </c>
      <c r="D10" s="16" t="n">
        <f aca="false">B10*(1/Припущення!$B$6)*Припущення!$B$15*Припущення!$B$16</f>
        <v>0.625</v>
      </c>
      <c r="E10" s="16" t="n">
        <f aca="false">B10*Припущення!$B$19*12</f>
        <v>0</v>
      </c>
      <c r="F10" s="16" t="n">
        <f aca="false">SUM(C10:E10)</f>
        <v>1.375</v>
      </c>
      <c r="G10" s="16" t="n">
        <f aca="false">B10*Припущення!$B$23</f>
        <v>0.25</v>
      </c>
      <c r="H10" s="16" t="n">
        <f aca="false">B10*Припущення!$B$10*Припущення!$B$11*Припущення!$B$27</f>
        <v>0.166666666666667</v>
      </c>
      <c r="I10" s="16" t="n">
        <f aca="false">SUM(G10:H10)</f>
        <v>0.416666666666667</v>
      </c>
      <c r="J10" s="16" t="n">
        <f aca="false">F10-I10</f>
        <v>0.958333333333333</v>
      </c>
      <c r="K10" s="16" t="n">
        <f aca="false">K9+J10</f>
        <v>6.58333333333333</v>
      </c>
    </row>
    <row r="11" customFormat="false" ht="15" hidden="false" customHeight="false" outlineLevel="0" collapsed="false">
      <c r="A11" s="6" t="n">
        <v>7</v>
      </c>
      <c r="B11" s="15" t="n">
        <f aca="false">Припущення!$B$7^FLOOR((A11-1)/Припущення!$B$6,1)</f>
        <v>0.5</v>
      </c>
      <c r="C11" s="16" t="n">
        <f aca="false">B11*Припущення!$B$10*Припущення!$B$11*Припущення!$B$12</f>
        <v>0.75</v>
      </c>
      <c r="D11" s="16" t="n">
        <f aca="false">B11*(1/Припущення!$B$6)*Припущення!$B$15*Припущення!$B$16</f>
        <v>0.625</v>
      </c>
      <c r="E11" s="16" t="n">
        <f aca="false">B11*Припущення!$B$19*12</f>
        <v>0</v>
      </c>
      <c r="F11" s="16" t="n">
        <f aca="false">SUM(C11:E11)</f>
        <v>1.375</v>
      </c>
      <c r="G11" s="16" t="n">
        <f aca="false">B11*Припущення!$B$23</f>
        <v>0.25</v>
      </c>
      <c r="H11" s="16" t="n">
        <f aca="false">B11*Припущення!$B$10*Припущення!$B$11*Припущення!$B$27</f>
        <v>0.166666666666667</v>
      </c>
      <c r="I11" s="16" t="n">
        <f aca="false">SUM(G11:H11)</f>
        <v>0.416666666666667</v>
      </c>
      <c r="J11" s="16" t="n">
        <f aca="false">F11-I11</f>
        <v>0.958333333333333</v>
      </c>
      <c r="K11" s="16" t="n">
        <f aca="false">K10+J11</f>
        <v>7.54166666666667</v>
      </c>
    </row>
    <row r="12" customFormat="false" ht="15" hidden="false" customHeight="false" outlineLevel="0" collapsed="false">
      <c r="A12" s="6" t="n">
        <v>8</v>
      </c>
      <c r="B12" s="15" t="n">
        <f aca="false">Припущення!$B$7^FLOOR((A12-1)/Припущення!$B$6,1)</f>
        <v>0.5</v>
      </c>
      <c r="C12" s="16" t="n">
        <f aca="false">B12*Припущення!$B$10*Припущення!$B$11*Припущення!$B$12</f>
        <v>0.75</v>
      </c>
      <c r="D12" s="16" t="n">
        <f aca="false">B12*(1/Припущення!$B$6)*Припущення!$B$15*Припущення!$B$16</f>
        <v>0.625</v>
      </c>
      <c r="E12" s="16" t="n">
        <f aca="false">B12*Припущення!$B$19*12</f>
        <v>0</v>
      </c>
      <c r="F12" s="16" t="n">
        <f aca="false">SUM(C12:E12)</f>
        <v>1.375</v>
      </c>
      <c r="G12" s="16" t="n">
        <f aca="false">B12*Припущення!$B$23</f>
        <v>0.25</v>
      </c>
      <c r="H12" s="16" t="n">
        <f aca="false">B12*Припущення!$B$10*Припущення!$B$11*Припущення!$B$27</f>
        <v>0.166666666666667</v>
      </c>
      <c r="I12" s="16" t="n">
        <f aca="false">SUM(G12:H12)</f>
        <v>0.416666666666667</v>
      </c>
      <c r="J12" s="16" t="n">
        <f aca="false">F12-I12</f>
        <v>0.958333333333333</v>
      </c>
      <c r="K12" s="16" t="n">
        <f aca="false">K11+J12</f>
        <v>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2" t="s">
        <v>66</v>
      </c>
      <c r="B3" s="17" t="n">
        <f aca="false">SUM('Юніт-модель'!F5:F12)</f>
        <v>16.5</v>
      </c>
    </row>
    <row r="4" customFormat="false" ht="15" hidden="false" customHeight="false" outlineLevel="0" collapsed="false">
      <c r="A4" s="6" t="s">
        <v>67</v>
      </c>
      <c r="B4" s="18" t="n">
        <f aca="false">SUM('Юніт-модель'!C5:C12)</f>
        <v>9</v>
      </c>
    </row>
    <row r="5" customFormat="false" ht="15" hidden="false" customHeight="false" outlineLevel="0" collapsed="false">
      <c r="A5" s="6" t="s">
        <v>68</v>
      </c>
      <c r="B5" s="18" t="n">
        <f aca="false">SUM('Юніт-модель'!D5:D12)</f>
        <v>7.5</v>
      </c>
    </row>
    <row r="6" customFormat="false" ht="15" hidden="false" customHeight="false" outlineLevel="0" collapsed="false">
      <c r="A6" s="6" t="s">
        <v>69</v>
      </c>
      <c r="B6" s="18" t="n">
        <f aca="false">SUM('Юніт-модель'!E5:E12)</f>
        <v>0</v>
      </c>
    </row>
    <row r="8" customFormat="false" ht="15" hidden="false" customHeight="false" outlineLevel="0" collapsed="false">
      <c r="A8" s="6" t="s">
        <v>70</v>
      </c>
      <c r="B8" s="18" t="n">
        <f aca="false">SUM('Юніт-модель'!I5:I12)</f>
        <v>5</v>
      </c>
    </row>
    <row r="9" customFormat="false" ht="15" hidden="false" customHeight="false" outlineLevel="0" collapsed="false">
      <c r="A9" s="6" t="s">
        <v>71</v>
      </c>
      <c r="B9" s="18" t="n">
        <f aca="false">Припущення!B22</f>
        <v>3</v>
      </c>
    </row>
    <row r="10" customFormat="false" ht="15" hidden="false" customHeight="false" outlineLevel="0" collapsed="false">
      <c r="A10" s="2" t="s">
        <v>72</v>
      </c>
      <c r="B10" s="17" t="n">
        <f aca="false">SUM('Юніт-модель'!J5:J12)-Припущення!B22</f>
        <v>8.5</v>
      </c>
    </row>
    <row r="11" customFormat="false" ht="15" hidden="false" customHeight="false" outlineLevel="0" collapsed="false">
      <c r="A11" s="2" t="s">
        <v>73</v>
      </c>
      <c r="B11" s="19" t="n">
        <f aca="false">SUM('Юніт-модель'!J5:J12)/Припущення!B22</f>
        <v>3.83333333333333</v>
      </c>
      <c r="C11" s="20" t="s">
        <v>74</v>
      </c>
    </row>
    <row r="13" customFormat="false" ht="15" hidden="false" customHeight="false" outlineLevel="0" collapsed="false">
      <c r="A13" s="5" t="s">
        <v>75</v>
      </c>
    </row>
    <row r="14" customFormat="false" ht="15" hidden="false" customHeight="false" outlineLevel="0" collapsed="false">
      <c r="A14" s="6" t="s">
        <v>76</v>
      </c>
      <c r="B14" s="18" t="n">
        <f aca="false">SUMPRODUCT(('Юніт-модель'!A5:A12&lt;=Припущення!B6)*'Юніт-модель'!F5:F12)</f>
        <v>11</v>
      </c>
      <c r="C14" s="20" t="s">
        <v>77</v>
      </c>
    </row>
    <row r="15" customFormat="false" ht="22.35" hidden="false" customHeight="false" outlineLevel="0" collapsed="false">
      <c r="A15" s="2" t="s">
        <v>78</v>
      </c>
      <c r="B15" s="17" t="n">
        <f aca="false">SUM('Юніт-модель'!F5:F12)-SUMPRODUCT(('Юніт-модель'!A5:A12&lt;=Припущення!B6)*'Юніт-модель'!F5:F12)</f>
        <v>5.5</v>
      </c>
      <c r="C15" s="20" t="s">
        <v>79</v>
      </c>
    </row>
    <row r="16" customFormat="false" ht="15" hidden="false" customHeight="false" outlineLevel="0" collapsed="false">
      <c r="A16" s="6" t="s">
        <v>80</v>
      </c>
      <c r="B16" s="21" t="n">
        <f aca="false">B15/B3</f>
        <v>0.333333333333333</v>
      </c>
    </row>
    <row r="18" customFormat="false" ht="15" hidden="false" customHeight="false" outlineLevel="0" collapsed="false">
      <c r="A18" s="2" t="s">
        <v>81</v>
      </c>
    </row>
    <row r="19" customFormat="false" ht="43.25" hidden="false" customHeight="false" outlineLevel="0" collapsed="false">
      <c r="A19" s="2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2026-08-19T09:21:27Z</dcterms:created>
  <dc:creator>openpyxl</dc:creator>
  <dc:description/>
  <dc:language>en-US</dc:language>
  <cp:lastModifiedBy/>
  <dcterms:modified xsi:type="dcterms:W3CDTF">2026-08-19T09:21:27Z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